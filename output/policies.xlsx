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e bands" sheetId="2" state="visible" r:id="rId2"/>
    <sheet xmlns:r="http://schemas.openxmlformats.org/officeDocument/2006/relationships" name="poli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charges by smoking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'summary'!$A$4:$A$5</f>
            </numRef>
          </cat>
          <val>
            <numRef>
              <f>'summary'!$C$4:$C$5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charges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licies" displayName="Policies" ref="A1:G1339" headerRowCount="1">
  <autoFilter ref="A1:G1339"/>
  <tableColumns count="7">
    <tableColumn id="1" name="age"/>
    <tableColumn id="2" name="sex"/>
    <tableColumn id="3" name="bmi"/>
    <tableColumn id="4" name="children"/>
    <tableColumn id="5" name="smoker"/>
    <tableColumn id="6" name="region"/>
    <tableColumn id="7" name="charg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</cols>
  <sheetData>
    <row r="1">
      <c r="A1" s="1" t="inlineStr">
        <is>
          <t>Insurance cost summary</t>
        </is>
      </c>
    </row>
    <row r="3">
      <c r="A3" s="2" t="inlineStr">
        <is>
          <t>smoker</t>
        </is>
      </c>
      <c r="B3" s="2" t="inlineStr">
        <is>
          <t>policies</t>
        </is>
      </c>
      <c r="C3" s="2" t="inlineStr">
        <is>
          <t>average charges</t>
        </is>
      </c>
    </row>
    <row r="4">
      <c r="A4" t="inlineStr">
        <is>
          <t>yes</t>
        </is>
      </c>
      <c r="B4">
        <f>COUNTIF(Policies[smoker],"yes")</f>
        <v/>
      </c>
      <c r="C4" s="3">
        <f>AVERAGEIF(Policies[smoker],"yes",Policies[charges])</f>
        <v/>
      </c>
    </row>
    <row r="5">
      <c r="A5" t="inlineStr">
        <is>
          <t>no</t>
        </is>
      </c>
      <c r="B5">
        <f>COUNTIF(Policies[smoker],"no")</f>
        <v/>
      </c>
      <c r="C5" s="3">
        <f>AVERAGEIF(Policies[smoker],"no",Policies[charges])</f>
        <v/>
      </c>
    </row>
    <row r="7">
      <c r="A7" t="inlineStr">
        <is>
          <t>smoker multiple</t>
        </is>
      </c>
      <c r="C7" s="4">
        <f>C4/C5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0" customWidth="1" min="4" max="4"/>
  </cols>
  <sheetData>
    <row r="1">
      <c r="A1" s="1" t="inlineStr">
        <is>
          <t>Average charges by age band</t>
        </is>
      </c>
    </row>
    <row r="3">
      <c r="A3" s="2" t="inlineStr">
        <is>
          <t>age band</t>
        </is>
      </c>
      <c r="B3" s="2" t="inlineStr">
        <is>
          <t>smoker</t>
        </is>
      </c>
      <c r="C3" s="2" t="inlineStr">
        <is>
          <t>policies</t>
        </is>
      </c>
      <c r="D3" s="2" t="inlineStr">
        <is>
          <t>average charges</t>
        </is>
      </c>
    </row>
    <row r="4">
      <c r="A4" t="inlineStr">
        <is>
          <t>18-29</t>
        </is>
      </c>
      <c r="B4" t="inlineStr">
        <is>
          <t>yes</t>
        </is>
      </c>
      <c r="C4">
        <f>COUNTIFS(Policies[smoker],"yes",Policies[age],"&gt;=18",Policies[age],"&lt;=29")</f>
        <v/>
      </c>
      <c r="D4" s="3">
        <f>AVERAGEIFS(Policies[charges],Policies[smoker],"yes",Policies[age],"&gt;=18",Policies[age],"&lt;=29")</f>
        <v/>
      </c>
    </row>
    <row r="5">
      <c r="A5" t="inlineStr">
        <is>
          <t>18-29</t>
        </is>
      </c>
      <c r="B5" t="inlineStr">
        <is>
          <t>no</t>
        </is>
      </c>
      <c r="C5">
        <f>COUNTIFS(Policies[smoker],"no",Policies[age],"&gt;=18",Policies[age],"&lt;=29")</f>
        <v/>
      </c>
      <c r="D5" s="3">
        <f>AVERAGEIFS(Policies[charges],Policies[smoker],"no",Policies[age],"&gt;=18",Policies[age],"&lt;=29")</f>
        <v/>
      </c>
    </row>
    <row r="6">
      <c r="A6" t="inlineStr">
        <is>
          <t>30-44</t>
        </is>
      </c>
      <c r="B6" t="inlineStr">
        <is>
          <t>yes</t>
        </is>
      </c>
      <c r="C6">
        <f>COUNTIFS(Policies[smoker],"yes",Policies[age],"&gt;=30",Policies[age],"&lt;=44")</f>
        <v/>
      </c>
      <c r="D6" s="3">
        <f>AVERAGEIFS(Policies[charges],Policies[smoker],"yes",Policies[age],"&gt;=30",Policies[age],"&lt;=44")</f>
        <v/>
      </c>
    </row>
    <row r="7">
      <c r="A7" t="inlineStr">
        <is>
          <t>30-44</t>
        </is>
      </c>
      <c r="B7" t="inlineStr">
        <is>
          <t>no</t>
        </is>
      </c>
      <c r="C7">
        <f>COUNTIFS(Policies[smoker],"no",Policies[age],"&gt;=30",Policies[age],"&lt;=44")</f>
        <v/>
      </c>
      <c r="D7" s="3">
        <f>AVERAGEIFS(Policies[charges],Policies[smoker],"no",Policies[age],"&gt;=30",Policies[age],"&lt;=44")</f>
        <v/>
      </c>
    </row>
    <row r="8">
      <c r="A8" t="inlineStr">
        <is>
          <t>45-64</t>
        </is>
      </c>
      <c r="B8" t="inlineStr">
        <is>
          <t>yes</t>
        </is>
      </c>
      <c r="C8">
        <f>COUNTIFS(Policies[smoker],"yes",Policies[age],"&gt;=45",Policies[age],"&lt;=64")</f>
        <v/>
      </c>
      <c r="D8" s="3">
        <f>AVERAGEIFS(Policies[charges],Policies[smoker],"yes",Policies[age],"&gt;=45",Policies[age],"&lt;=64")</f>
        <v/>
      </c>
    </row>
    <row r="9">
      <c r="A9" t="inlineStr">
        <is>
          <t>45-64</t>
        </is>
      </c>
      <c r="B9" t="inlineStr">
        <is>
          <t>no</t>
        </is>
      </c>
      <c r="C9">
        <f>COUNTIFS(Policies[smoker],"no",Policies[age],"&gt;=45",Policies[age],"&lt;=64")</f>
        <v/>
      </c>
      <c r="D9" s="3">
        <f>AVERAGEIFS(Policies[charges],Policies[smoker],"no",Policies[age],"&gt;=45",Policies[age],"&lt;=64")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2026-10-24T06:05:14Z</dcterms:created>
  <dcterms:modified xmlns:dcterms="http://purl.org/dc/terms/" xmlns:xsi="http://www.w3.org/2001/XMLSchema-instance" xsi:type="dcterms:W3CDTF">2026-10-24T06:05:14Z</dcterms:modified>
</cp:coreProperties>
</file>